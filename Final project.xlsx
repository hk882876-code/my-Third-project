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<sst xmlns="http://schemas.openxmlformats.org/spreadsheetml/2006/main" count="104" uniqueCount="77">
  <si>
    <t>Doctor ID</t>
  </si>
  <si>
    <t>Doctor Name</t>
  </si>
  <si>
    <t>Department</t>
  </si>
  <si>
    <t>Consultation Fee (Rs)</t>
  </si>
  <si>
    <t>DOCO1</t>
  </si>
  <si>
    <t>Dr. Amit Sharma</t>
  </si>
  <si>
    <t>Cardiology</t>
  </si>
  <si>
    <t>DOCO2</t>
  </si>
  <si>
    <t>Dr. Neha Verma</t>
  </si>
  <si>
    <t>Neurology</t>
  </si>
  <si>
    <t>DOCO3</t>
  </si>
  <si>
    <t>Dr. Rahul Mehta</t>
  </si>
  <si>
    <t>Orthopedics</t>
  </si>
  <si>
    <t>DOCO4</t>
  </si>
  <si>
    <t>Dr. Priya Singh</t>
  </si>
  <si>
    <t>Pediatrics</t>
  </si>
  <si>
    <t>DOCO5</t>
  </si>
  <si>
    <t>Dr. Anil Kumar</t>
  </si>
  <si>
    <t>General Medicine</t>
  </si>
  <si>
    <t>DOCO6</t>
  </si>
  <si>
    <t>Dr. Sunita Rao</t>
  </si>
  <si>
    <t>Gynecology</t>
  </si>
  <si>
    <t>DOCO7</t>
  </si>
  <si>
    <t>Dr. Vikram Patel</t>
  </si>
  <si>
    <t>Dermatology</t>
  </si>
  <si>
    <t>DOCO8</t>
  </si>
  <si>
    <t>Dr. Pooja Nair</t>
  </si>
  <si>
    <t>ENT</t>
  </si>
  <si>
    <t>DOCO9</t>
  </si>
  <si>
    <t>Dr. Suresh Iyer</t>
  </si>
  <si>
    <t>Ophthalmology</t>
  </si>
  <si>
    <t>DOCO10</t>
  </si>
  <si>
    <t>Dr. Kavita Joshi</t>
  </si>
  <si>
    <t>Psychiatry</t>
  </si>
  <si>
    <t>Appointment ID</t>
  </si>
  <si>
    <t>Patient Name</t>
  </si>
  <si>
    <t>Appointment Date</t>
  </si>
  <si>
    <t>Scheduled Time</t>
  </si>
  <si>
    <t>Actual Time</t>
  </si>
  <si>
    <t>Waiting Time</t>
  </si>
  <si>
    <t>Status</t>
  </si>
  <si>
    <t>A0001</t>
  </si>
  <si>
    <t>Ahmed Raza</t>
  </si>
  <si>
    <t>DOC01</t>
  </si>
  <si>
    <t>A0002</t>
  </si>
  <si>
    <t>Zainab Fatima</t>
  </si>
  <si>
    <t>DOC02</t>
  </si>
  <si>
    <t>A0003</t>
  </si>
  <si>
    <t>Salman Iqbal</t>
  </si>
  <si>
    <t>DOC03</t>
  </si>
  <si>
    <t>A0004</t>
  </si>
  <si>
    <t>Mariam Siddiqui</t>
  </si>
  <si>
    <t>DOC04</t>
  </si>
  <si>
    <t>A0005</t>
  </si>
  <si>
    <t>Hassan Ali</t>
  </si>
  <si>
    <t>DOC05</t>
  </si>
  <si>
    <t>A0006</t>
  </si>
  <si>
    <t>Anaya Khan</t>
  </si>
  <si>
    <t>DOC06</t>
  </si>
  <si>
    <t>A0007</t>
  </si>
  <si>
    <t>Imran Ahmed</t>
  </si>
  <si>
    <t>DOC07</t>
  </si>
  <si>
    <t>A0008</t>
  </si>
  <si>
    <t>Noor ul Ain</t>
  </si>
  <si>
    <t>DOC08</t>
  </si>
  <si>
    <t>A0009</t>
  </si>
  <si>
    <t>Kamran Malik</t>
  </si>
  <si>
    <t>A0010</t>
  </si>
  <si>
    <t>Areeba Hussain</t>
  </si>
  <si>
    <t>DOC010</t>
  </si>
  <si>
    <t>Doctor Fee</t>
  </si>
  <si>
    <t>Total Bill</t>
  </si>
  <si>
    <t>Date</t>
  </si>
  <si>
    <t>Total Patients</t>
  </si>
  <si>
    <t>Total Revenue</t>
  </si>
  <si>
    <t xml:space="preserve">Doctor Name
</t>
  </si>
  <si>
    <t>Total Revenue (Rs)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</si>
</sst>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h:mm am/pm"/>
    <numFmt numFmtId="166" formatCode="h:mm:ss am/p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356854"/>
      </left>
    </border>
    <border>
      <left style="thin">
        <color rgb="FF356854"/>
      </left>
      <bottom style="thin">
        <color rgb="FF356854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1" fillId="2" fontId="4" numFmtId="164" xfId="0" applyAlignment="1" applyBorder="1" applyFill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3" fontId="4" numFmtId="164" xfId="0" applyAlignment="1" applyBorder="1" applyFill="1" applyFont="1" applyNumberFormat="1">
      <alignment readingOrder="0" shrinkToFit="0" vertical="center" wrapText="0"/>
    </xf>
    <xf borderId="2" fillId="2" fontId="4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4:G14" displayName="Doctor_Details" name="Doctor_Details" id="1">
  <tableColumns count="4">
    <tableColumn name="Doctor ID" id="1"/>
    <tableColumn name="Doctor Name" id="2"/>
    <tableColumn name="Department" id="3"/>
    <tableColumn name="Consultation Fee (Rs)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D5:K15" displayName="Appointment_Details" name="Appointment_Details" id="2">
  <tableColumns count="8">
    <tableColumn name="Appointment ID" id="1"/>
    <tableColumn name="Patient Name" id="2"/>
    <tableColumn name="Doctor ID" id="3"/>
    <tableColumn name="Appointment Date" id="4"/>
    <tableColumn name="Scheduled Time" id="5"/>
    <tableColumn name="Actual Time" id="6"/>
    <tableColumn name="Waiting Time" id="7"/>
    <tableColumn name="Status" id="8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E5:J15" displayName="Billing" name="Billing" id="3">
  <tableColumns count="6">
    <tableColumn name="Appointment ID" id="1"/>
    <tableColumn name="Appointment Date" id="2"/>
    <tableColumn name="Patient Name" id="3"/>
    <tableColumn name="Doctor ID" id="4"/>
    <tableColumn name="Doctor Fee" id="5"/>
    <tableColumn name="Total Bill" id="6"/>
  </tableColumns>
  <tableStyleInfo name="Sheet3-style" showColumnStripes="0" showFirstColumn="1" showLastColumn="1" showRowStripes="1"/>
</table>
</file>

<file path=xl/tables/table4.xml><?xml version="1.0" encoding="utf-8"?>
<table xmlns="http://schemas.openxmlformats.org/spreadsheetml/2006/main" ref="D7:F10" displayName="Totl_Revenue" name="Totl_Revenue" id="4">
  <tableColumns count="3">
    <tableColumn name="Date" id="1"/>
    <tableColumn name="Total Patients" id="2"/>
    <tableColumn name="Total Revenue" id="3"/>
  </tableColumns>
  <tableStyleInfo name="Sheet4-style" showColumnStripes="0" showFirstColumn="1" showLastColumn="1" showRowStripes="1"/>
</table>
</file>

<file path=xl/tables/table5.xml><?xml version="1.0" encoding="utf-8"?>
<table xmlns="http://schemas.openxmlformats.org/spreadsheetml/2006/main" ref="D8:F18" displayName="Table1" name="Table1" id="5">
  <tableColumns count="3">
    <tableColumn name="Doctor Name _x000a_" id="1"/>
    <tableColumn name="Total Patients" id="2"/>
    <tableColumn name="Total Revenue (Rs)" id="3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  <col customWidth="1" min="7" max="7" width="12.75"/>
  </cols>
  <sheetData>
    <row r="4" ht="22.5" customHeight="1">
      <c r="D4" s="1" t="s">
        <v>0</v>
      </c>
      <c r="E4" s="1" t="s">
        <v>1</v>
      </c>
      <c r="F4" s="1" t="s">
        <v>2</v>
      </c>
      <c r="G4" s="1" t="s">
        <v>3</v>
      </c>
    </row>
    <row r="5" ht="22.5" customHeight="1">
      <c r="D5" s="2" t="s">
        <v>4</v>
      </c>
      <c r="E5" s="2" t="s">
        <v>5</v>
      </c>
      <c r="F5" s="2" t="s">
        <v>6</v>
      </c>
      <c r="G5" s="2">
        <v>800.0</v>
      </c>
    </row>
    <row r="6" ht="22.5" customHeight="1">
      <c r="D6" s="2" t="s">
        <v>7</v>
      </c>
      <c r="E6" s="2" t="s">
        <v>8</v>
      </c>
      <c r="F6" s="2" t="s">
        <v>9</v>
      </c>
      <c r="G6" s="2">
        <v>1000.0</v>
      </c>
    </row>
    <row r="7" ht="22.5" customHeight="1">
      <c r="D7" s="2" t="s">
        <v>10</v>
      </c>
      <c r="E7" s="2" t="s">
        <v>11</v>
      </c>
      <c r="F7" s="2" t="s">
        <v>12</v>
      </c>
      <c r="G7" s="2">
        <v>700.0</v>
      </c>
    </row>
    <row r="8" ht="22.5" customHeight="1">
      <c r="D8" s="2" t="s">
        <v>13</v>
      </c>
      <c r="E8" s="2" t="s">
        <v>14</v>
      </c>
      <c r="F8" s="2" t="s">
        <v>15</v>
      </c>
      <c r="G8" s="2">
        <v>600.0</v>
      </c>
    </row>
    <row r="9" ht="22.5" customHeight="1">
      <c r="D9" s="2" t="s">
        <v>16</v>
      </c>
      <c r="E9" s="2" t="s">
        <v>17</v>
      </c>
      <c r="F9" s="2" t="s">
        <v>18</v>
      </c>
      <c r="G9" s="2">
        <v>500.0</v>
      </c>
    </row>
    <row r="10" ht="22.5" customHeight="1">
      <c r="D10" s="2" t="s">
        <v>19</v>
      </c>
      <c r="E10" s="2" t="s">
        <v>20</v>
      </c>
      <c r="F10" s="2" t="s">
        <v>21</v>
      </c>
      <c r="G10" s="2">
        <v>900.0</v>
      </c>
    </row>
    <row r="11" ht="22.5" customHeight="1">
      <c r="D11" s="2" t="s">
        <v>22</v>
      </c>
      <c r="E11" s="2" t="s">
        <v>23</v>
      </c>
      <c r="F11" s="2" t="s">
        <v>24</v>
      </c>
      <c r="G11" s="2">
        <v>650.0</v>
      </c>
    </row>
    <row r="12" ht="22.5" customHeight="1">
      <c r="D12" s="2" t="s">
        <v>25</v>
      </c>
      <c r="E12" s="2" t="s">
        <v>26</v>
      </c>
      <c r="F12" s="2" t="s">
        <v>27</v>
      </c>
      <c r="G12" s="2">
        <v>550.0</v>
      </c>
    </row>
    <row r="13" ht="22.5" customHeight="1">
      <c r="D13" s="2" t="s">
        <v>28</v>
      </c>
      <c r="E13" s="2" t="s">
        <v>29</v>
      </c>
      <c r="F13" s="2" t="s">
        <v>30</v>
      </c>
      <c r="G13" s="2">
        <v>750.0</v>
      </c>
    </row>
    <row r="14" ht="22.5" customHeight="1">
      <c r="D14" s="2" t="s">
        <v>31</v>
      </c>
      <c r="E14" s="2" t="s">
        <v>32</v>
      </c>
      <c r="F14" s="2" t="s">
        <v>33</v>
      </c>
      <c r="G14" s="2">
        <v>1100.0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63"/>
    <col customWidth="1" min="8" max="8" width="15.75"/>
    <col customWidth="1" min="9" max="9" width="13.63"/>
    <col customWidth="1" min="10" max="10" width="14.38"/>
  </cols>
  <sheetData>
    <row r="5" ht="22.5" customHeight="1">
      <c r="C5" s="3"/>
      <c r="D5" s="1" t="s">
        <v>34</v>
      </c>
      <c r="E5" s="1" t="s">
        <v>35</v>
      </c>
      <c r="F5" s="1" t="s">
        <v>0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</row>
    <row r="6" ht="22.5" customHeight="1">
      <c r="C6" s="3"/>
      <c r="D6" s="2" t="s">
        <v>41</v>
      </c>
      <c r="E6" s="2" t="s">
        <v>42</v>
      </c>
      <c r="F6" s="2" t="s">
        <v>43</v>
      </c>
      <c r="G6" s="4">
        <v>46175.0</v>
      </c>
      <c r="H6" s="5">
        <v>0.4166666666666667</v>
      </c>
      <c r="I6" s="6">
        <v>0.3784722222222222</v>
      </c>
      <c r="J6" s="6">
        <f t="shared" ref="J6:J15" si="1">IF(I6="","",I6-H6)</f>
        <v>-0.03819444444</v>
      </c>
      <c r="K6" s="7" t="str">
        <f t="shared" ref="K6:K15" si="2">IF(I6="","Missed",IF(I6&lt;=H6,"On Time","Late"))</f>
        <v>On Time</v>
      </c>
    </row>
    <row r="7" ht="22.5" customHeight="1">
      <c r="C7" s="3"/>
      <c r="D7" s="2" t="s">
        <v>44</v>
      </c>
      <c r="E7" s="2" t="s">
        <v>45</v>
      </c>
      <c r="F7" s="2" t="s">
        <v>46</v>
      </c>
      <c r="G7" s="4">
        <v>46175.0</v>
      </c>
      <c r="H7" s="5">
        <v>0.4375</v>
      </c>
      <c r="I7" s="6">
        <v>0.4375</v>
      </c>
      <c r="J7" s="6">
        <f t="shared" si="1"/>
        <v>0</v>
      </c>
      <c r="K7" s="7" t="str">
        <f t="shared" si="2"/>
        <v>On Time</v>
      </c>
    </row>
    <row r="8" ht="22.5" customHeight="1">
      <c r="C8" s="3"/>
      <c r="D8" s="2" t="s">
        <v>47</v>
      </c>
      <c r="E8" s="2" t="s">
        <v>48</v>
      </c>
      <c r="F8" s="2" t="s">
        <v>49</v>
      </c>
      <c r="G8" s="4">
        <v>46175.0</v>
      </c>
      <c r="H8" s="5">
        <v>0.4583333333333333</v>
      </c>
      <c r="I8" s="6">
        <v>0.4270833333333333</v>
      </c>
      <c r="J8" s="6">
        <f t="shared" si="1"/>
        <v>-0.03125</v>
      </c>
      <c r="K8" s="7" t="str">
        <f t="shared" si="2"/>
        <v>On Time</v>
      </c>
    </row>
    <row r="9" ht="22.5" customHeight="1">
      <c r="C9" s="3"/>
      <c r="D9" s="2" t="s">
        <v>50</v>
      </c>
      <c r="E9" s="2" t="s">
        <v>51</v>
      </c>
      <c r="F9" s="2" t="s">
        <v>52</v>
      </c>
      <c r="G9" s="4">
        <v>46175.0</v>
      </c>
      <c r="H9" s="5">
        <v>0.4791666666666667</v>
      </c>
      <c r="I9" s="6">
        <v>0.4826388888888889</v>
      </c>
      <c r="J9" s="6">
        <f t="shared" si="1"/>
        <v>0.003472222222</v>
      </c>
      <c r="K9" s="7" t="str">
        <f t="shared" si="2"/>
        <v>Late</v>
      </c>
    </row>
    <row r="10" ht="22.5" customHeight="1">
      <c r="C10" s="3"/>
      <c r="D10" s="2" t="s">
        <v>53</v>
      </c>
      <c r="E10" s="2" t="s">
        <v>54</v>
      </c>
      <c r="F10" s="2" t="s">
        <v>55</v>
      </c>
      <c r="G10" s="4">
        <v>46205.0</v>
      </c>
      <c r="H10" s="5">
        <v>0.4166666666666667</v>
      </c>
      <c r="I10" s="6">
        <v>0.4236111111111111</v>
      </c>
      <c r="J10" s="6">
        <f t="shared" si="1"/>
        <v>0.006944444444</v>
      </c>
      <c r="K10" s="7" t="str">
        <f t="shared" si="2"/>
        <v>Late</v>
      </c>
    </row>
    <row r="11" ht="22.5" customHeight="1">
      <c r="C11" s="3"/>
      <c r="D11" s="2" t="s">
        <v>56</v>
      </c>
      <c r="E11" s="2" t="s">
        <v>57</v>
      </c>
      <c r="F11" s="2" t="s">
        <v>58</v>
      </c>
      <c r="G11" s="4">
        <v>46205.0</v>
      </c>
      <c r="H11" s="5">
        <v>0.4375</v>
      </c>
      <c r="I11" s="8"/>
      <c r="J11" s="8" t="str">
        <f t="shared" si="1"/>
        <v/>
      </c>
      <c r="K11" s="7" t="str">
        <f t="shared" si="2"/>
        <v>Missed</v>
      </c>
    </row>
    <row r="12" ht="22.5" customHeight="1">
      <c r="C12" s="3"/>
      <c r="D12" s="2" t="s">
        <v>59</v>
      </c>
      <c r="E12" s="2" t="s">
        <v>60</v>
      </c>
      <c r="F12" s="2" t="s">
        <v>61</v>
      </c>
      <c r="G12" s="4">
        <v>46205.0</v>
      </c>
      <c r="H12" s="5">
        <v>0.4583333333333333</v>
      </c>
      <c r="I12" s="6">
        <v>0.4618055555555556</v>
      </c>
      <c r="J12" s="6">
        <f t="shared" si="1"/>
        <v>0.003472222222</v>
      </c>
      <c r="K12" s="7" t="str">
        <f t="shared" si="2"/>
        <v>Late</v>
      </c>
    </row>
    <row r="13" ht="22.5" customHeight="1">
      <c r="C13" s="3"/>
      <c r="D13" s="2" t="s">
        <v>62</v>
      </c>
      <c r="E13" s="2" t="s">
        <v>63</v>
      </c>
      <c r="F13" s="2" t="s">
        <v>64</v>
      </c>
      <c r="G13" s="4">
        <v>46205.0</v>
      </c>
      <c r="H13" s="5">
        <v>0.4791666666666667</v>
      </c>
      <c r="I13" s="6">
        <v>0.4861111111111111</v>
      </c>
      <c r="J13" s="6">
        <f t="shared" si="1"/>
        <v>0.006944444444</v>
      </c>
      <c r="K13" s="7" t="str">
        <f t="shared" si="2"/>
        <v>Late</v>
      </c>
    </row>
    <row r="14" ht="22.5" customHeight="1">
      <c r="C14" s="3"/>
      <c r="D14" s="2" t="s">
        <v>65</v>
      </c>
      <c r="E14" s="2" t="s">
        <v>66</v>
      </c>
      <c r="F14" s="2" t="s">
        <v>28</v>
      </c>
      <c r="G14" s="4">
        <v>46236.0</v>
      </c>
      <c r="H14" s="5">
        <v>0.4166666666666667</v>
      </c>
      <c r="I14" s="6">
        <v>0.4166666666666667</v>
      </c>
      <c r="J14" s="6">
        <f t="shared" si="1"/>
        <v>0</v>
      </c>
      <c r="K14" s="7" t="str">
        <f t="shared" si="2"/>
        <v>On Time</v>
      </c>
    </row>
    <row r="15" ht="22.5" customHeight="1">
      <c r="C15" s="3"/>
      <c r="D15" s="2" t="s">
        <v>67</v>
      </c>
      <c r="E15" s="2" t="s">
        <v>68</v>
      </c>
      <c r="F15" s="2" t="s">
        <v>69</v>
      </c>
      <c r="G15" s="4">
        <v>46236.0</v>
      </c>
      <c r="H15" s="5">
        <v>0.4375</v>
      </c>
      <c r="I15" s="6">
        <v>0.4375</v>
      </c>
      <c r="J15" s="6">
        <f t="shared" si="1"/>
        <v>0</v>
      </c>
      <c r="K15" s="7" t="str">
        <f t="shared" si="2"/>
        <v>On Time</v>
      </c>
    </row>
  </sheetData>
  <conditionalFormatting sqref="K5:K15">
    <cfRule type="cellIs" dxfId="5" priority="1" operator="equal">
      <formula>"on time"</formula>
    </cfRule>
  </conditionalFormatting>
  <conditionalFormatting sqref="K5:K15">
    <cfRule type="cellIs" dxfId="6" priority="2" operator="equal">
      <formula>"late"</formula>
    </cfRule>
  </conditionalFormatting>
  <conditionalFormatting sqref="K5:K15">
    <cfRule type="cellIs" dxfId="7" priority="3" operator="equal">
      <formula>"missed"</formula>
    </cfRule>
  </conditionalFormatting>
  <dataValidations>
    <dataValidation type="custom" allowBlank="1" showDropDown="1" sqref="H6:J15">
      <formula1>OR(TIMEVALUE(TEXT(H6, "hh:mm:ss"))=H6, AND(ISNUMBER(H6), LEFT(CELL("format", H6))="D"))</formula1>
    </dataValidation>
    <dataValidation type="custom" allowBlank="1" showDropDown="1" sqref="G6:G15">
      <formula1>OR(NOT(ISERROR(DATEVALUE(G6))), AND(ISNUMBER(G6), LEFT(CELL("format", G6))="D"))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13"/>
    <col customWidth="1" min="6" max="6" width="22.25"/>
    <col customWidth="1" min="7" max="7" width="15.63"/>
    <col customWidth="1" min="9" max="9" width="16.88"/>
    <col customWidth="1" min="10" max="10" width="15.25"/>
  </cols>
  <sheetData>
    <row r="5" ht="22.5" customHeight="1">
      <c r="E5" s="9" t="s">
        <v>34</v>
      </c>
      <c r="F5" s="9" t="s">
        <v>36</v>
      </c>
      <c r="G5" s="9" t="s">
        <v>35</v>
      </c>
      <c r="H5" s="9" t="s">
        <v>0</v>
      </c>
      <c r="I5" s="9" t="s">
        <v>70</v>
      </c>
      <c r="J5" s="9" t="s">
        <v>71</v>
      </c>
    </row>
    <row r="6" ht="22.5" customHeight="1">
      <c r="E6" s="2" t="s">
        <v>41</v>
      </c>
      <c r="F6" s="10">
        <f>VLOOKUP(E6,Appointment_Details[[Appointment ID]:[Waiting Time]],4,0)</f>
        <v>46175</v>
      </c>
      <c r="G6" s="2" t="str">
        <f>VLOOKUP(E6,Appointment_Details[[Appointment ID]:[Waiting Time]],2,0)</f>
        <v>Ahmed Raza</v>
      </c>
      <c r="H6" s="2" t="str">
        <f>VLOOKUP(E6,Appointment_Details[[Appointment ID]:[Waiting Time]],3,0)</f>
        <v>DOC01</v>
      </c>
      <c r="I6" s="11">
        <f>VLOOKUP(Sheet1!D5,Doctor_Details[],4,0)</f>
        <v>800</v>
      </c>
      <c r="J6" s="11">
        <f t="shared" ref="J6:J15" si="1">I6</f>
        <v>800</v>
      </c>
    </row>
    <row r="7" ht="22.5" customHeight="1">
      <c r="E7" s="2" t="s">
        <v>44</v>
      </c>
      <c r="F7" s="10">
        <f>VLOOKUP(E7,Appointment_Details[[Appointment ID]:[Waiting Time]],4,0)</f>
        <v>46175</v>
      </c>
      <c r="G7" s="2" t="str">
        <f>VLOOKUP(E7,Appointment_Details[[Appointment ID]:[Waiting Time]],2,0)</f>
        <v>Zainab Fatima</v>
      </c>
      <c r="H7" s="2" t="str">
        <f>VLOOKUP(E7,Appointment_Details[[Appointment ID]:[Waiting Time]],3,0)</f>
        <v>DOC02</v>
      </c>
      <c r="I7" s="11">
        <f>VLOOKUP(Sheet1!D6,Doctor_Details[],4,0)</f>
        <v>1000</v>
      </c>
      <c r="J7" s="11">
        <f t="shared" si="1"/>
        <v>1000</v>
      </c>
    </row>
    <row r="8" ht="22.5" customHeight="1">
      <c r="E8" s="2" t="s">
        <v>47</v>
      </c>
      <c r="F8" s="10">
        <f>VLOOKUP(E8,Appointment_Details[[Appointment ID]:[Waiting Time]],4,0)</f>
        <v>46175</v>
      </c>
      <c r="G8" s="2" t="str">
        <f>VLOOKUP(E8,Appointment_Details[[Appointment ID]:[Waiting Time]],2,0)</f>
        <v>Salman Iqbal</v>
      </c>
      <c r="H8" s="2" t="str">
        <f>VLOOKUP(E8,Appointment_Details[[Appointment ID]:[Waiting Time]],3,0)</f>
        <v>DOC03</v>
      </c>
      <c r="I8" s="11">
        <f>VLOOKUP(Sheet1!D7,Doctor_Details[],4,0)</f>
        <v>700</v>
      </c>
      <c r="J8" s="11">
        <f t="shared" si="1"/>
        <v>700</v>
      </c>
    </row>
    <row r="9" ht="22.5" customHeight="1">
      <c r="E9" s="2" t="s">
        <v>50</v>
      </c>
      <c r="F9" s="10">
        <f>VLOOKUP(E9,Appointment_Details[[Appointment ID]:[Waiting Time]],4,0)</f>
        <v>46175</v>
      </c>
      <c r="G9" s="2" t="str">
        <f>VLOOKUP(E9,Appointment_Details[[Appointment ID]:[Waiting Time]],2,0)</f>
        <v>Mariam Siddiqui</v>
      </c>
      <c r="H9" s="2" t="str">
        <f>VLOOKUP(E9,Appointment_Details[[Appointment ID]:[Waiting Time]],3,0)</f>
        <v>DOC04</v>
      </c>
      <c r="I9" s="11">
        <f>VLOOKUP(Sheet1!D8,Doctor_Details[],4,0)</f>
        <v>600</v>
      </c>
      <c r="J9" s="11">
        <f t="shared" si="1"/>
        <v>600</v>
      </c>
    </row>
    <row r="10" ht="22.5" customHeight="1">
      <c r="E10" s="2" t="s">
        <v>53</v>
      </c>
      <c r="F10" s="10">
        <f>VLOOKUP(E10,Appointment_Details[[Appointment ID]:[Waiting Time]],4,0)</f>
        <v>46205</v>
      </c>
      <c r="G10" s="2" t="str">
        <f>VLOOKUP(E10,Appointment_Details[[Appointment ID]:[Waiting Time]],2,0)</f>
        <v>Hassan Ali</v>
      </c>
      <c r="H10" s="2" t="str">
        <f>VLOOKUP(E10,Appointment_Details[[Appointment ID]:[Waiting Time]],3,0)</f>
        <v>DOC05</v>
      </c>
      <c r="I10" s="11">
        <f>VLOOKUP(Sheet1!D9,Doctor_Details[],4,0)</f>
        <v>500</v>
      </c>
      <c r="J10" s="11">
        <f t="shared" si="1"/>
        <v>500</v>
      </c>
    </row>
    <row r="11" ht="22.5" customHeight="1">
      <c r="E11" s="2" t="s">
        <v>56</v>
      </c>
      <c r="F11" s="10">
        <f>VLOOKUP(E11,Appointment_Details[[Appointment ID]:[Waiting Time]],4,0)</f>
        <v>46205</v>
      </c>
      <c r="G11" s="2" t="str">
        <f>VLOOKUP(E11,Appointment_Details[[Appointment ID]:[Waiting Time]],2,0)</f>
        <v>Anaya Khan</v>
      </c>
      <c r="H11" s="2" t="str">
        <f>VLOOKUP(E11,Appointment_Details[[Appointment ID]:[Waiting Time]],3,0)</f>
        <v>DOC06</v>
      </c>
      <c r="I11" s="11">
        <f>VLOOKUP(Sheet1!D10,Doctor_Details[],4,0)</f>
        <v>900</v>
      </c>
      <c r="J11" s="11">
        <f t="shared" si="1"/>
        <v>900</v>
      </c>
    </row>
    <row r="12" ht="22.5" customHeight="1">
      <c r="E12" s="2" t="s">
        <v>59</v>
      </c>
      <c r="F12" s="10">
        <f>VLOOKUP(E12,Appointment_Details[[Appointment ID]:[Waiting Time]],4,0)</f>
        <v>46205</v>
      </c>
      <c r="G12" s="2" t="str">
        <f>VLOOKUP(E12,Appointment_Details[[Appointment ID]:[Waiting Time]],2,0)</f>
        <v>Imran Ahmed</v>
      </c>
      <c r="H12" s="2" t="str">
        <f>VLOOKUP(E12,Appointment_Details[[Appointment ID]:[Waiting Time]],3,0)</f>
        <v>DOC07</v>
      </c>
      <c r="I12" s="11">
        <f>VLOOKUP(Sheet1!D11,Doctor_Details[],4,0)</f>
        <v>650</v>
      </c>
      <c r="J12" s="11">
        <f t="shared" si="1"/>
        <v>650</v>
      </c>
    </row>
    <row r="13" ht="22.5" customHeight="1">
      <c r="E13" s="2" t="s">
        <v>62</v>
      </c>
      <c r="F13" s="10">
        <f>VLOOKUP(E13,Appointment_Details[[Appointment ID]:[Waiting Time]],4,0)</f>
        <v>46205</v>
      </c>
      <c r="G13" s="2" t="str">
        <f>VLOOKUP(E13,Appointment_Details[[Appointment ID]:[Waiting Time]],2,0)</f>
        <v>Noor ul Ain</v>
      </c>
      <c r="H13" s="2" t="str">
        <f>VLOOKUP(E13,Appointment_Details[[Appointment ID]:[Waiting Time]],3,0)</f>
        <v>DOC08</v>
      </c>
      <c r="I13" s="11">
        <f>VLOOKUP(Sheet1!D12,Doctor_Details[],4,0)</f>
        <v>550</v>
      </c>
      <c r="J13" s="11">
        <f t="shared" si="1"/>
        <v>550</v>
      </c>
    </row>
    <row r="14" ht="22.5" customHeight="1">
      <c r="E14" s="2" t="s">
        <v>65</v>
      </c>
      <c r="F14" s="10">
        <f>VLOOKUP(E14,Appointment_Details[[Appointment ID]:[Waiting Time]],4,0)</f>
        <v>46236</v>
      </c>
      <c r="G14" s="2" t="str">
        <f>VLOOKUP(E14,Appointment_Details[[Appointment ID]:[Waiting Time]],2,0)</f>
        <v>Kamran Malik</v>
      </c>
      <c r="H14" s="2" t="str">
        <f>VLOOKUP(E14,Appointment_Details[[Appointment ID]:[Waiting Time]],3,0)</f>
        <v>DOCO9</v>
      </c>
      <c r="I14" s="11">
        <f>VLOOKUP(Sheet1!D13,Doctor_Details[],4,0)</f>
        <v>750</v>
      </c>
      <c r="J14" s="11">
        <f t="shared" si="1"/>
        <v>750</v>
      </c>
    </row>
    <row r="15" ht="22.5" customHeight="1">
      <c r="E15" s="2" t="s">
        <v>67</v>
      </c>
      <c r="F15" s="10">
        <f>VLOOKUP(E15,Appointment_Details[[Appointment ID]:[Waiting Time]],4,0)</f>
        <v>46236</v>
      </c>
      <c r="G15" s="2" t="str">
        <f>VLOOKUP(E15,Appointment_Details[[Appointment ID]:[Waiting Time]],2,0)</f>
        <v>Areeba Hussain</v>
      </c>
      <c r="H15" s="2" t="str">
        <f>VLOOKUP(E15,Appointment_Details[[Appointment ID]:[Waiting Time]],3,0)</f>
        <v>DOC010</v>
      </c>
      <c r="I15" s="11">
        <f>VLOOKUP(Sheet1!D14,Doctor_Details[],4,0)</f>
        <v>1100</v>
      </c>
      <c r="J15" s="11">
        <f t="shared" si="1"/>
        <v>1100</v>
      </c>
    </row>
  </sheetData>
  <dataValidations>
    <dataValidation type="custom" allowBlank="1" showDropDown="1" sqref="F6:F15">
      <formula1>OR(NOT(ISERROR(DATEVALUE(F6))), AND(ISNUMBER(F6), LEFT(CELL("format", F6))="D"))</formula1>
    </dataValidation>
    <dataValidation type="custom" allowBlank="1" showDropDown="1" sqref="I6:J15">
      <formula1>AND(ISNUMBER(I6),(NOT(OR(NOT(ISERROR(DATEVALUE(I6))), AND(ISNUMBER(I6), LEFT(CELL("format", I6))="D")))))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25"/>
    <col customWidth="1" min="6" max="6" width="16.75"/>
  </cols>
  <sheetData>
    <row r="7" ht="22.5" customHeight="1">
      <c r="D7" s="12" t="s">
        <v>72</v>
      </c>
      <c r="E7" s="12" t="s">
        <v>73</v>
      </c>
      <c r="F7" s="12" t="s">
        <v>74</v>
      </c>
    </row>
    <row r="8" ht="22.5" customHeight="1">
      <c r="D8" s="13">
        <v>46175.0</v>
      </c>
      <c r="E8" s="14">
        <f>COUNTIF(Appointment_Details[Appointment Date],D8)</f>
        <v>4</v>
      </c>
      <c r="F8" s="14">
        <f>SUMIF(Appointment_Details[Appointment Date],D8,Billing[Total Bill])</f>
        <v>3100</v>
      </c>
    </row>
    <row r="9" ht="22.5" customHeight="1">
      <c r="D9" s="15">
        <v>46205.0</v>
      </c>
      <c r="E9" s="14">
        <f>COUNTIF(Appointment_Details[Appointment Date],D9)</f>
        <v>4</v>
      </c>
      <c r="F9" s="14">
        <f>SUMIF(Appointment_Details[Appointment Date],D9,Billing[Total Bill])</f>
        <v>2600</v>
      </c>
    </row>
    <row r="10" ht="22.5" customHeight="1">
      <c r="D10" s="16">
        <v>46238.0</v>
      </c>
      <c r="E10" s="14">
        <f>COUNTIF(Appointment_Details[Appointment Date],D10)</f>
        <v>0</v>
      </c>
      <c r="F10" s="14">
        <f>SUMIF(Appointment_Details[Appointment Date],D10,Billing[Total Bill])</f>
        <v>0</v>
      </c>
    </row>
  </sheetData>
  <dataValidations>
    <dataValidation type="custom" allowBlank="1" showDropDown="1" sqref="D8:D10">
      <formula1>OR(NOT(ISERROR(DATEVALUE(D8))), AND(ISNUMBER(D8), LEFT(CELL("format", D8))="D"))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D7" s="17"/>
      <c r="E7" s="17"/>
      <c r="F7" s="17"/>
    </row>
    <row r="8" ht="22.5" customHeight="1">
      <c r="D8" s="18" t="s">
        <v>75</v>
      </c>
      <c r="E8" s="18" t="s">
        <v>73</v>
      </c>
      <c r="F8" s="18" t="s">
        <v>76</v>
      </c>
    </row>
    <row r="9" ht="22.5" customHeight="1">
      <c r="D9" s="2" t="s">
        <v>5</v>
      </c>
      <c r="E9" s="14">
        <f>COUNTIF(Billing[],Billing[Doctor ID])</f>
        <v>1</v>
      </c>
      <c r="F9" s="14">
        <f>SUMIF(Sheet3!H:H,D9,Sheet3!I:I)</f>
        <v>0</v>
      </c>
    </row>
    <row r="10" ht="22.5" customHeight="1">
      <c r="D10" s="2" t="s">
        <v>8</v>
      </c>
      <c r="E10" s="14">
        <f>COUNTIF(Billing[],Billing[Doctor ID])</f>
        <v>1</v>
      </c>
      <c r="F10" s="14">
        <f>SUMIF(Sheet3!H:H,D10,Sheet3!I:I)</f>
        <v>0</v>
      </c>
    </row>
    <row r="11" ht="22.5" customHeight="1">
      <c r="D11" s="2" t="s">
        <v>11</v>
      </c>
      <c r="E11" s="14">
        <f>COUNTIF(Billing[],Billing[Doctor ID])</f>
        <v>1</v>
      </c>
      <c r="F11" s="14">
        <f>SUMIF(Sheet3!H:H,D11,Sheet3!I:I)</f>
        <v>0</v>
      </c>
    </row>
    <row r="12" ht="22.5" customHeight="1">
      <c r="D12" s="2" t="s">
        <v>14</v>
      </c>
      <c r="E12" s="14">
        <f>COUNTIF(Billing[],Billing[Doctor ID])</f>
        <v>1</v>
      </c>
      <c r="F12" s="14">
        <f>SUMIF(Sheet3!H:H,D12,Sheet3!I:I)</f>
        <v>0</v>
      </c>
    </row>
    <row r="13" ht="22.5" customHeight="1">
      <c r="D13" s="2" t="s">
        <v>17</v>
      </c>
      <c r="E13" s="14">
        <f>COUNTIF(Billing[],Billing[Doctor ID])</f>
        <v>1</v>
      </c>
      <c r="F13" s="14">
        <f>SUMIF(Sheet3!H:H,D13,Sheet3!I:I)</f>
        <v>0</v>
      </c>
    </row>
    <row r="14" ht="22.5" customHeight="1">
      <c r="D14" s="2" t="s">
        <v>20</v>
      </c>
      <c r="E14" s="14">
        <f>COUNTIF(Billing[],Billing[Doctor ID])</f>
        <v>1</v>
      </c>
      <c r="F14" s="14">
        <f>SUMIF(Sheet3!H:H,D14,Sheet3!I:I)</f>
        <v>0</v>
      </c>
    </row>
    <row r="15" ht="22.5" customHeight="1">
      <c r="D15" s="2" t="s">
        <v>23</v>
      </c>
      <c r="E15" s="14">
        <f>COUNTIF(Billing[],Billing[Doctor ID])</f>
        <v>1</v>
      </c>
      <c r="F15" s="14">
        <f>SUMIF(Sheet3!H:H,D15,Sheet3!I:I)</f>
        <v>0</v>
      </c>
    </row>
    <row r="16" ht="22.5" customHeight="1">
      <c r="D16" s="2" t="s">
        <v>26</v>
      </c>
      <c r="E16" s="14">
        <f>COUNTIF(Billing[],Billing[Doctor ID])</f>
        <v>0</v>
      </c>
      <c r="F16" s="14">
        <f>SUMIF(Sheet3!H:H,D16,Sheet3!I:I)</f>
        <v>0</v>
      </c>
    </row>
    <row r="17" ht="22.5" customHeight="1">
      <c r="D17" s="2" t="s">
        <v>29</v>
      </c>
      <c r="E17" s="14">
        <f>COUNTIF(Billing[],Billing[Doctor ID])</f>
        <v>0</v>
      </c>
      <c r="F17" s="14">
        <f>SUMIF(Sheet3!H:H,D17,Sheet3!I:I)</f>
        <v>0</v>
      </c>
    </row>
    <row r="18" ht="22.5" customHeight="1">
      <c r="D18" s="2" t="s">
        <v>32</v>
      </c>
      <c r="E18" s="14">
        <f>COUNTIF(Billing[],Billing[Doctor ID])</f>
        <v>0</v>
      </c>
      <c r="F18" s="14">
        <f>SUMIF(Sheet3!H:H,D18,Sheet3!I:I)</f>
        <v>0</v>
      </c>
    </row>
  </sheetData>
  <drawing r:id="rId1"/>
  <tableParts count="1">
    <tablePart r:id="rId3"/>
  </tableParts>
</worksheet>
</file>